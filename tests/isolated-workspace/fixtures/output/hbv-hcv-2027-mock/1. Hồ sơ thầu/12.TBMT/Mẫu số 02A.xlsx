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265"/>
  </bookViews>
  <sheets>
    <sheet name="Mẫu số 02A. PHẠM VI CUNG CẤP HÀ" sheetId="1" r:id="rId1"/>
  </sheets>
  <calcPr calcId="162913"/>
</workbook>
</file>

<file path=xl/calcChain.xml><?xml version="1.0" encoding="utf-8"?>
<calcChain xmlns="http://schemas.openxmlformats.org/spreadsheetml/2006/main">
  <c r="P9" i="1" l="1"/>
  <c r="P8" i="1"/>
  <c r="P7" i="1"/>
</calcChain>
</file>

<file path=xl/sharedStrings.xml><?xml version="1.0" encoding="utf-8"?>
<sst xmlns="http://schemas.openxmlformats.org/spreadsheetml/2006/main" count="55" uniqueCount="44">
  <si>
    <t>MẪU SỐ 02A. PHẠM VI CUNG CẤP HÀNG HÓA</t>
  </si>
  <si>
    <t>Nhập số thứ tự</t>
  </si>
  <si>
    <t>Điền lần lượt hàng hóa trong yêu cầu e-HSMT. Ví dụ: Máy tính lap top; Hóa chất xét nghiệm Triglycerides; ...</t>
  </si>
  <si>
    <t xml:space="preserve">Nhập thông tin đơn vị tính ví dụ: Cái; Chiếc,…. </t>
  </si>
  <si>
    <t>"Điền thông tin khối lượng cần yêu cầu. 
Lưu ý: Định dạng dấu chấm ngăn cách phần nghìn, dấu phẩy ngăn cách phần thập phân. Tối đa 4 số thập phân sau dấu ','. 
Ví dụ: 2.362,5505;…
BMT nên kiểm tra lại cài đặt định dạng hiển thị trên máy trong Control panel để biết định dạng hiện tại đang dùng trong Excel: https://prnt.sc/-kDLF4BXJobx"</t>
  </si>
  <si>
    <t xml:space="preserve">Nhập thông tin Ký mã hiệu. </t>
  </si>
  <si>
    <t xml:space="preserve">Nhập thông tin Nhãn hiệu. </t>
  </si>
  <si>
    <t xml:space="preserve">Nhập thông tin Hãng sản xuất. </t>
  </si>
  <si>
    <t xml:space="preserve">Nhập thông tin Xuất xứ cửa hàng hóa. </t>
  </si>
  <si>
    <t xml:space="preserve">Nhập thông tin Năm sản xuất. </t>
  </si>
  <si>
    <t xml:space="preserve">Nhập thông tin Thông số kỹ thuật. </t>
  </si>
  <si>
    <t xml:space="preserve">Điền thông tin địa điểm thực hiện giao hàng. </t>
  </si>
  <si>
    <t xml:space="preserve">Ghi số ngày kể từ ngày hợp đồng có hiệu lực hoặc kể từ ngày chủ đầu tư yêu cầu giao hàng đối với trường hợp giao hàng nhiều lần. </t>
  </si>
  <si>
    <t>Điền thông tin yêu cầu khác.</t>
  </si>
  <si>
    <t>STT</t>
  </si>
  <si>
    <t>Danh mục hàng hóa</t>
  </si>
  <si>
    <t>Đơn vị tính</t>
  </si>
  <si>
    <t>Khối lượng</t>
  </si>
  <si>
    <t>Ký mã hiệu</t>
  </si>
  <si>
    <t>Nhãn hiệu</t>
  </si>
  <si>
    <t>Hãng sản xuất</t>
  </si>
  <si>
    <t>Xuất xứ của hàng hóa</t>
  </si>
  <si>
    <t>Năm sản xuất</t>
  </si>
  <si>
    <t>Thông số kỹ thuật</t>
  </si>
  <si>
    <t>Địa điểm dự án</t>
  </si>
  <si>
    <t>Ngày giao hàng sớm nhất</t>
  </si>
  <si>
    <t>Ngày giao hàng muộn nhất</t>
  </si>
  <si>
    <t>Yêu cầu khác</t>
  </si>
  <si>
    <t>1</t>
  </si>
  <si>
    <t>2</t>
  </si>
  <si>
    <t>Bệnh viện đa khoa tỉnh Phú Thọ</t>
  </si>
  <si>
    <t>60</t>
  </si>
  <si>
    <t>Bộ xét nghiệm định lượng virus viêm gan B</t>
  </si>
  <si>
    <t>Bộ xét nghiệm định lượng virus Viêm gan C</t>
  </si>
  <si>
    <t>Test</t>
  </si>
  <si>
    <t>960</t>
  </si>
  <si>
    <t>HBV ELITe MGB® Kit /RTK602ING</t>
  </si>
  <si>
    <t>HCV ELITe MGB® Kit/RTK601ING</t>
  </si>
  <si>
    <t>ELITechGroup S.p.A.</t>
  </si>
  <si>
    <t>Italy/ Ý</t>
  </si>
  <si>
    <t>2025 trở về sau</t>
  </si>
  <si>
    <t>* Để phát hiện và định lượng DNA của Vi-rút Viêm gan B (HBV) được tách chiết từ các mẫu bệnh phẩm.  
* Thành phần: 
Hoá chất phản ứng (HBV Mix) 
Thang chuẩn (HBV Standard) 
Chứng dương (HBV Positive Control)
Chứng âm (HBV Internal Control)
* Ngưỡng phát hiện (LoD): 9 IU/mL (38 copies/mL) mẫu huyết thanh, huyết tương 
* Độ đặc hiệu: 97.6%</t>
  </si>
  <si>
    <t>* Xét nghiệm phiên mã ngược axit nucleic và khuếch đại định lượng để phát hiện và định lượng RNA của vi rút viêm gan C 
* Thành phần: Hoá chất phản ứng (HCV Mix), Thang chuẩn định lượng (HCV  Standard), Chứng dương (HCV Positive Control), Chứng âm (HCV Internal Control).
* Ngưỡng phát hiện (LoD): 26 IU/mL (11 copies/mL) mẫu huyết thanh, huyết tương
* Độ đặc hiệu: 100%</t>
  </si>
  <si>
    <t>4320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</si>
</sst>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##,###.00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6"/>
      <color rgb="FF000000"/>
      <name val="Times New Roman"/>
    </font>
    <font>
      <sz val="10"/>
      <color rgb="FF000000"/>
      <name val="Times New Roman"/>
    </font>
    <font>
      <i/>
      <sz val="10"/>
      <color rgb="FF333333"/>
      <name val="Times New Roman"/>
    </font>
    <font>
      <b/>
      <sz val="12"/>
      <color rgb="FFFF0000"/>
      <name val="Times New Roman"/>
    </font>
    <font>
      <b/>
      <sz val="12"/>
      <color rgb="FF000000"/>
      <name val="Times New Roman"/>
    </font>
    <font>
      <sz val="13"/>
      <color rgb="FF000000"/>
      <name val="Times New Roman"/>
      <family val="1"/>
    </font>
    <font>
      <sz val="10"/>
      <name val="Arial"/>
      <family val="2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auto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/>
    <xf numFmtId="43" fontId="9" fillId="0" borderId="0" applyFon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/>
    </xf>
    <xf numFmtId="49" fontId="8" fillId="3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165" fontId="0" fillId="0" borderId="0" xfId="2" applyNumberFormat="1" applyFont="1"/>
    <xf numFmtId="49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</cellXfs>
  <cellStyles count="3">
    <cellStyle name="Comma" xfId="2" builtinId="3"/>
    <cellStyle name="Normal" xfId="0" builtinId="0"/>
    <cellStyle name="Normal 2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9"/>
  <sheetViews>
    <sheetView tabSelected="1" zoomScale="70" zoomScaleNormal="70" workbookViewId="0">
      <selection activeCell="P9" sqref="P9"/>
    </sheetView>
  </sheetViews>
  <sheetFormatPr defaultRowHeight="15" x14ac:dyDescent="0.25"/>
  <cols>
    <col min="1" max="1" width="10" style="1" customWidth="1"/>
    <col min="2" max="2" width="20" style="1" customWidth="1"/>
    <col min="3" max="3" width="16.7109375" style="1" customWidth="1"/>
    <col min="4" max="4" width="15.7109375" style="2" customWidth="1"/>
    <col min="5" max="6" width="20" style="1" customWidth="1"/>
    <col min="7" max="7" width="25.5703125" style="1" customWidth="1"/>
    <col min="8" max="8" width="20" style="1" customWidth="1"/>
    <col min="9" max="9" width="17.140625" style="1" customWidth="1"/>
    <col min="10" max="10" width="71.42578125" style="1" customWidth="1"/>
    <col min="11" max="14" width="20" style="1" customWidth="1"/>
    <col min="16" max="16" width="25.85546875" customWidth="1"/>
  </cols>
  <sheetData>
    <row r="2" spans="1:16" ht="20.25" x14ac:dyDescent="0.25">
      <c r="A2" s="20" t="s">
        <v>0</v>
      </c>
      <c r="B2" s="20"/>
      <c r="C2" s="20"/>
      <c r="D2" s="20"/>
      <c r="E2" s="20"/>
      <c r="F2" s="20"/>
    </row>
    <row r="3" spans="1:16" x14ac:dyDescent="0.25">
      <c r="A3" s="21"/>
      <c r="B3" s="21"/>
      <c r="C3" s="21"/>
      <c r="D3" s="21"/>
    </row>
    <row r="5" spans="1:16" ht="293.25" x14ac:dyDescent="0.25">
      <c r="A5" s="3" t="s">
        <v>1</v>
      </c>
      <c r="B5" s="3" t="s">
        <v>2</v>
      </c>
      <c r="C5" s="3" t="s">
        <v>3</v>
      </c>
      <c r="D5" s="4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12</v>
      </c>
      <c r="N5" s="3" t="s">
        <v>13</v>
      </c>
    </row>
    <row r="6" spans="1:16" ht="31.5" x14ac:dyDescent="0.25">
      <c r="A6" s="5" t="s">
        <v>14</v>
      </c>
      <c r="B6" s="6" t="s">
        <v>15</v>
      </c>
      <c r="C6" s="6" t="s">
        <v>16</v>
      </c>
      <c r="D6" s="7" t="s">
        <v>17</v>
      </c>
      <c r="E6" s="6" t="s">
        <v>18</v>
      </c>
      <c r="F6" s="6" t="s">
        <v>19</v>
      </c>
      <c r="G6" s="6" t="s">
        <v>20</v>
      </c>
      <c r="H6" s="6" t="s">
        <v>21</v>
      </c>
      <c r="I6" s="6" t="s">
        <v>22</v>
      </c>
      <c r="J6" s="5" t="s">
        <v>23</v>
      </c>
      <c r="K6" s="6" t="s">
        <v>24</v>
      </c>
      <c r="L6" s="6" t="s">
        <v>25</v>
      </c>
      <c r="M6" s="6" t="s">
        <v>26</v>
      </c>
      <c r="N6" s="15" t="s">
        <v>27</v>
      </c>
    </row>
    <row r="7" spans="1:16" s="14" customFormat="1" ht="174.75" customHeight="1" x14ac:dyDescent="0.25">
      <c r="A7" s="9" t="s">
        <v>28</v>
      </c>
      <c r="B7" s="12" t="s">
        <v>32</v>
      </c>
      <c r="C7" s="11" t="s">
        <v>34</v>
      </c>
      <c r="D7" s="11" t="s">
        <v>43</v>
      </c>
      <c r="E7" s="12" t="s">
        <v>36</v>
      </c>
      <c r="F7" s="11" t="s">
        <v>38</v>
      </c>
      <c r="G7" s="17" t="s">
        <v>38</v>
      </c>
      <c r="H7" s="17" t="s">
        <v>39</v>
      </c>
      <c r="I7" s="9" t="s">
        <v>40</v>
      </c>
      <c r="J7" s="13" t="s">
        <v>41</v>
      </c>
      <c r="K7" s="8" t="s">
        <v>30</v>
      </c>
      <c r="L7" s="9" t="s">
        <v>28</v>
      </c>
      <c r="M7" s="9" t="s">
        <v>31</v>
      </c>
      <c r="N7" s="10"/>
      <c r="O7" s="14">
        <v>354375</v>
      </c>
      <c r="P7" s="18">
        <f>+O7*D7</f>
        <v>1530900000</v>
      </c>
    </row>
    <row r="8" spans="1:16" s="14" customFormat="1" ht="169.5" customHeight="1" x14ac:dyDescent="0.25">
      <c r="A8" s="9" t="s">
        <v>29</v>
      </c>
      <c r="B8" s="12" t="s">
        <v>33</v>
      </c>
      <c r="C8" s="11" t="s">
        <v>34</v>
      </c>
      <c r="D8" s="11" t="s">
        <v>35</v>
      </c>
      <c r="E8" s="16" t="s">
        <v>37</v>
      </c>
      <c r="F8" s="11" t="s">
        <v>38</v>
      </c>
      <c r="G8" s="17" t="s">
        <v>38</v>
      </c>
      <c r="H8" s="17" t="s">
        <v>39</v>
      </c>
      <c r="I8" s="9" t="s">
        <v>40</v>
      </c>
      <c r="J8" s="13" t="s">
        <v>42</v>
      </c>
      <c r="K8" s="8" t="s">
        <v>30</v>
      </c>
      <c r="L8" s="9" t="s">
        <v>28</v>
      </c>
      <c r="M8" s="9" t="s">
        <v>31</v>
      </c>
      <c r="N8" s="10"/>
      <c r="O8" s="14">
        <v>433125</v>
      </c>
      <c r="P8" s="18">
        <f>+O8*D8</f>
        <v>415800000</v>
      </c>
    </row>
    <row r="9" spans="1:16" x14ac:dyDescent="0.25">
      <c r="P9" s="19">
        <f>SUM(P7:P8)</f>
        <v>1946700000</v>
      </c>
    </row>
  </sheetData>
  <mergeCells count="2">
    <mergeCell ref="A2:F2"/>
    <mergeCell ref="A3:D3"/>
  </mergeCells>
  <pageMargins left="0.7" right="0.7" top="0.75" bottom="0.75" header="0.3" footer="0.3"/>
  <pageSetup scale="3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số 02A. PHẠM VI CUNG CẤP HÀ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2026-02-09T07:50:08Z</dcterms:created>
  <dcterms:modified xsi:type="dcterms:W3CDTF">2026-03-20T03:23:44Z</dcterms:modified>
  <cp:category/>
</cp:coreProperties>
</file>